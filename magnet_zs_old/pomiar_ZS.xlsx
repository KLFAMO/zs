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Sr\progs\magnet_zs\"/>
    </mc:Choice>
  </mc:AlternateContent>
  <xr:revisionPtr revIDLastSave="0" documentId="13_ncr:1_{C79F2B22-257E-4BA3-B3F0-55822A5F987C}" xr6:coauthVersionLast="47" xr6:coauthVersionMax="47" xr10:uidLastSave="{00000000-0000-0000-0000-000000000000}"/>
  <bookViews>
    <workbookView xWindow="-120" yWindow="-120" windowWidth="29040" windowHeight="15720" activeTab="1" xr2:uid="{40378C67-592B-4E95-BA1F-766DBE28CD12}"/>
  </bookViews>
  <sheets>
    <sheet name="ZS_computed_values" sheetId="3" r:id="rId1"/>
    <sheet name="zs pelny" sheetId="2" r:id="rId2"/>
    <sheet name="Arkusz1" sheetId="1" r:id="rId3"/>
  </sheets>
  <definedNames>
    <definedName name="ExternalData_1" localSheetId="0" hidden="1">ZS_computed_values!$A$1:$B$30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2" l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1" i="2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9F5733-056D-4486-BB82-3BB74BBE0DB7}" keepAlive="1" name="Zapytanie — ZS_computed_values" description="Połączenie z zapytaniem „ZS_computed_values” w skoroszycie." type="5" refreshedVersion="8" background="1" saveData="1">
    <dbPr connection="Provider=Microsoft.Mashup.OleDb.1;Data Source=$Workbook$;Location=ZS_computed_values;Extended Properties=&quot;&quot;" command="SELECT * FROM [ZS_computed_values]"/>
  </connection>
</connections>
</file>

<file path=xl/sharedStrings.xml><?xml version="1.0" encoding="utf-8"?>
<sst xmlns="http://schemas.openxmlformats.org/spreadsheetml/2006/main" count="9" uniqueCount="6">
  <si>
    <t>Column1</t>
  </si>
  <si>
    <t>Column2</t>
  </si>
  <si>
    <t/>
  </si>
  <si>
    <t>Column3</t>
  </si>
  <si>
    <t>Column22</t>
  </si>
  <si>
    <t>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</si>
</sst>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Zeeman slower - magnetic field along ZS axes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permanent magnets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'zs pelny'!$A$1:$A$57</c:f>
              <c:numCache>
                <c:formatCode>General</c:formatCode>
                <c:ptCount val="5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0</c:v>
                </c:pt>
                <c:pt idx="30">
                  <c:v>10</c:v>
                </c:pt>
                <c:pt idx="31">
                  <c:v>20</c:v>
                </c:pt>
                <c:pt idx="32">
                  <c:v>30</c:v>
                </c:pt>
                <c:pt idx="33">
                  <c:v>40</c:v>
                </c:pt>
                <c:pt idx="34">
                  <c:v>50</c:v>
                </c:pt>
                <c:pt idx="35">
                  <c:v>60</c:v>
                </c:pt>
                <c:pt idx="36">
                  <c:v>70</c:v>
                </c:pt>
                <c:pt idx="37">
                  <c:v>80</c:v>
                </c:pt>
                <c:pt idx="38">
                  <c:v>90</c:v>
                </c:pt>
                <c:pt idx="39">
                  <c:v>100</c:v>
                </c:pt>
                <c:pt idx="40">
                  <c:v>110</c:v>
                </c:pt>
                <c:pt idx="41">
                  <c:v>120</c:v>
                </c:pt>
                <c:pt idx="42">
                  <c:v>130</c:v>
                </c:pt>
                <c:pt idx="43">
                  <c:v>140</c:v>
                </c:pt>
                <c:pt idx="44">
                  <c:v>150</c:v>
                </c:pt>
                <c:pt idx="45">
                  <c:v>160</c:v>
                </c:pt>
                <c:pt idx="46">
                  <c:v>170</c:v>
                </c:pt>
                <c:pt idx="47">
                  <c:v>180</c:v>
                </c:pt>
                <c:pt idx="48">
                  <c:v>190</c:v>
                </c:pt>
                <c:pt idx="49">
                  <c:v>200</c:v>
                </c:pt>
                <c:pt idx="50">
                  <c:v>210</c:v>
                </c:pt>
                <c:pt idx="51">
                  <c:v>220</c:v>
                </c:pt>
                <c:pt idx="52">
                  <c:v>230</c:v>
                </c:pt>
                <c:pt idx="53">
                  <c:v>240</c:v>
                </c:pt>
                <c:pt idx="54">
                  <c:v>250</c:v>
                </c:pt>
                <c:pt idx="55">
                  <c:v>260</c:v>
                </c:pt>
                <c:pt idx="56">
                  <c:v>270</c:v>
                </c:pt>
              </c:numCache>
            </c:numRef>
          </c:xVal>
          <c:yVal>
            <c:numRef>
              <c:f>'zs pelny'!$C$1:$C$57</c:f>
              <c:numCache>
                <c:formatCode>General</c:formatCode>
                <c:ptCount val="57"/>
                <c:pt idx="0">
                  <c:v>2510</c:v>
                </c:pt>
                <c:pt idx="1">
                  <c:v>3279.9999999999995</c:v>
                </c:pt>
                <c:pt idx="2">
                  <c:v>2814</c:v>
                </c:pt>
                <c:pt idx="3">
                  <c:v>2436</c:v>
                </c:pt>
                <c:pt idx="4">
                  <c:v>2470</c:v>
                </c:pt>
                <c:pt idx="5">
                  <c:v>2126</c:v>
                </c:pt>
                <c:pt idx="6">
                  <c:v>1752</c:v>
                </c:pt>
                <c:pt idx="7">
                  <c:v>1645</c:v>
                </c:pt>
                <c:pt idx="8">
                  <c:v>1425</c:v>
                </c:pt>
                <c:pt idx="9">
                  <c:v>1083</c:v>
                </c:pt>
                <c:pt idx="10">
                  <c:v>863.00000000000011</c:v>
                </c:pt>
                <c:pt idx="11">
                  <c:v>622</c:v>
                </c:pt>
                <c:pt idx="12">
                  <c:v>229.99999999999997</c:v>
                </c:pt>
                <c:pt idx="13">
                  <c:v>-107</c:v>
                </c:pt>
                <c:pt idx="14">
                  <c:v>-327</c:v>
                </c:pt>
                <c:pt idx="15">
                  <c:v>-572</c:v>
                </c:pt>
                <c:pt idx="16">
                  <c:v>-889</c:v>
                </c:pt>
                <c:pt idx="17">
                  <c:v>-1135</c:v>
                </c:pt>
                <c:pt idx="18">
                  <c:v>-1309</c:v>
                </c:pt>
                <c:pt idx="19">
                  <c:v>-1579</c:v>
                </c:pt>
                <c:pt idx="20">
                  <c:v>-1816</c:v>
                </c:pt>
                <c:pt idx="21">
                  <c:v>-1885.0000000000002</c:v>
                </c:pt>
                <c:pt idx="22">
                  <c:v>-2153</c:v>
                </c:pt>
                <c:pt idx="23">
                  <c:v>-2541</c:v>
                </c:pt>
                <c:pt idx="24">
                  <c:v>-2532</c:v>
                </c:pt>
                <c:pt idx="25">
                  <c:v>-2693</c:v>
                </c:pt>
                <c:pt idx="26">
                  <c:v>-3285</c:v>
                </c:pt>
                <c:pt idx="27">
                  <c:v>-2657</c:v>
                </c:pt>
                <c:pt idx="28">
                  <c:v>-891</c:v>
                </c:pt>
                <c:pt idx="29">
                  <c:v>2646</c:v>
                </c:pt>
                <c:pt idx="30">
                  <c:v>3222</c:v>
                </c:pt>
                <c:pt idx="31">
                  <c:v>2719</c:v>
                </c:pt>
                <c:pt idx="32">
                  <c:v>2370</c:v>
                </c:pt>
                <c:pt idx="33">
                  <c:v>2393</c:v>
                </c:pt>
                <c:pt idx="34">
                  <c:v>2014.9999999999998</c:v>
                </c:pt>
                <c:pt idx="35">
                  <c:v>1670</c:v>
                </c:pt>
                <c:pt idx="36">
                  <c:v>1573</c:v>
                </c:pt>
                <c:pt idx="37">
                  <c:v>1348</c:v>
                </c:pt>
                <c:pt idx="38">
                  <c:v>1021.0000000000001</c:v>
                </c:pt>
                <c:pt idx="39">
                  <c:v>794</c:v>
                </c:pt>
                <c:pt idx="40">
                  <c:v>547</c:v>
                </c:pt>
                <c:pt idx="41">
                  <c:v>163</c:v>
                </c:pt>
                <c:pt idx="42">
                  <c:v>-172</c:v>
                </c:pt>
                <c:pt idx="43">
                  <c:v>-386</c:v>
                </c:pt>
                <c:pt idx="44">
                  <c:v>-638</c:v>
                </c:pt>
                <c:pt idx="45">
                  <c:v>-951</c:v>
                </c:pt>
                <c:pt idx="46">
                  <c:v>-1197</c:v>
                </c:pt>
                <c:pt idx="47">
                  <c:v>-1370</c:v>
                </c:pt>
                <c:pt idx="48">
                  <c:v>-1657</c:v>
                </c:pt>
                <c:pt idx="49">
                  <c:v>-1880</c:v>
                </c:pt>
                <c:pt idx="50">
                  <c:v>-1939.9999999999998</c:v>
                </c:pt>
                <c:pt idx="51">
                  <c:v>-2246</c:v>
                </c:pt>
                <c:pt idx="52">
                  <c:v>-2610</c:v>
                </c:pt>
                <c:pt idx="53">
                  <c:v>-2574</c:v>
                </c:pt>
                <c:pt idx="54">
                  <c:v>-2786</c:v>
                </c:pt>
                <c:pt idx="55">
                  <c:v>-3367</c:v>
                </c:pt>
                <c:pt idx="56">
                  <c:v>-2740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D-4C29-8911-256B98703FA1}"/>
            </c:ext>
          </c:extLst>
        </c:ser>
        <c:ser>
          <c:idx val="1"/>
          <c:order val="1"/>
          <c:tx>
            <c:v>ref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ZS_computed_values!$C$2:$C$28</c:f>
              <c:numCache>
                <c:formatCode>General</c:formatCode>
                <c:ptCount val="27"/>
                <c:pt idx="0">
                  <c:v>266</c:v>
                </c:pt>
                <c:pt idx="1">
                  <c:v>256</c:v>
                </c:pt>
                <c:pt idx="2">
                  <c:v>246</c:v>
                </c:pt>
                <c:pt idx="3">
                  <c:v>236</c:v>
                </c:pt>
                <c:pt idx="4">
                  <c:v>226</c:v>
                </c:pt>
                <c:pt idx="5">
                  <c:v>216</c:v>
                </c:pt>
                <c:pt idx="6">
                  <c:v>206</c:v>
                </c:pt>
                <c:pt idx="7">
                  <c:v>196</c:v>
                </c:pt>
                <c:pt idx="8">
                  <c:v>186</c:v>
                </c:pt>
                <c:pt idx="9">
                  <c:v>176</c:v>
                </c:pt>
                <c:pt idx="10">
                  <c:v>166</c:v>
                </c:pt>
                <c:pt idx="11">
                  <c:v>156</c:v>
                </c:pt>
                <c:pt idx="12">
                  <c:v>146</c:v>
                </c:pt>
                <c:pt idx="13">
                  <c:v>136</c:v>
                </c:pt>
                <c:pt idx="14">
                  <c:v>126</c:v>
                </c:pt>
                <c:pt idx="15">
                  <c:v>116</c:v>
                </c:pt>
                <c:pt idx="16">
                  <c:v>106</c:v>
                </c:pt>
                <c:pt idx="17">
                  <c:v>96</c:v>
                </c:pt>
                <c:pt idx="18">
                  <c:v>86</c:v>
                </c:pt>
                <c:pt idx="19">
                  <c:v>76</c:v>
                </c:pt>
                <c:pt idx="20">
                  <c:v>66</c:v>
                </c:pt>
                <c:pt idx="21">
                  <c:v>56</c:v>
                </c:pt>
                <c:pt idx="22">
                  <c:v>46</c:v>
                </c:pt>
                <c:pt idx="23">
                  <c:v>36</c:v>
                </c:pt>
                <c:pt idx="24">
                  <c:v>26</c:v>
                </c:pt>
                <c:pt idx="25">
                  <c:v>16</c:v>
                </c:pt>
                <c:pt idx="26">
                  <c:v>6</c:v>
                </c:pt>
              </c:numCache>
            </c:numRef>
          </c:xVal>
          <c:yVal>
            <c:numRef>
              <c:f>ZS_computed_values!$B$2:$B$28</c:f>
              <c:numCache>
                <c:formatCode>General</c:formatCode>
                <c:ptCount val="27"/>
                <c:pt idx="0">
                  <c:v>-2928.76</c:v>
                </c:pt>
                <c:pt idx="1">
                  <c:v>-2755.25</c:v>
                </c:pt>
                <c:pt idx="2">
                  <c:v>-2491.21</c:v>
                </c:pt>
                <c:pt idx="3">
                  <c:v>-2248.8000000000002</c:v>
                </c:pt>
                <c:pt idx="4">
                  <c:v>-2049.4299999999998</c:v>
                </c:pt>
                <c:pt idx="5">
                  <c:v>-1871.62</c:v>
                </c:pt>
                <c:pt idx="6">
                  <c:v>-1691.02</c:v>
                </c:pt>
                <c:pt idx="7">
                  <c:v>-1504.06</c:v>
                </c:pt>
                <c:pt idx="8">
                  <c:v>-1312.2</c:v>
                </c:pt>
                <c:pt idx="9">
                  <c:v>-1100.94</c:v>
                </c:pt>
                <c:pt idx="10">
                  <c:v>-872.14</c:v>
                </c:pt>
                <c:pt idx="11">
                  <c:v>-652.221</c:v>
                </c:pt>
                <c:pt idx="12">
                  <c:v>-456.70299999999997</c:v>
                </c:pt>
                <c:pt idx="13">
                  <c:v>-245.995</c:v>
                </c:pt>
                <c:pt idx="14">
                  <c:v>23.514600000000002</c:v>
                </c:pt>
                <c:pt idx="15">
                  <c:v>296.81599999999997</c:v>
                </c:pt>
                <c:pt idx="16">
                  <c:v>523.82899999999995</c:v>
                </c:pt>
                <c:pt idx="17">
                  <c:v>753.62599999999998</c:v>
                </c:pt>
                <c:pt idx="18">
                  <c:v>1015.75</c:v>
                </c:pt>
                <c:pt idx="19">
                  <c:v>1265.3599999999999</c:v>
                </c:pt>
                <c:pt idx="20">
                  <c:v>1482.26</c:v>
                </c:pt>
                <c:pt idx="21">
                  <c:v>1695.53</c:v>
                </c:pt>
                <c:pt idx="22">
                  <c:v>1920.46</c:v>
                </c:pt>
                <c:pt idx="23">
                  <c:v>2163.42</c:v>
                </c:pt>
                <c:pt idx="24">
                  <c:v>2441.8000000000002</c:v>
                </c:pt>
                <c:pt idx="25">
                  <c:v>2734.34</c:v>
                </c:pt>
                <c:pt idx="26">
                  <c:v>2915.99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5D-4C29-8911-256B98703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427328"/>
        <c:axId val="1228420128"/>
      </c:scatterChart>
      <c:valAx>
        <c:axId val="12284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8420128"/>
        <c:crosses val="autoZero"/>
        <c:crossBetween val="midCat"/>
      </c:valAx>
      <c:valAx>
        <c:axId val="122842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8427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Arkusz1!$A$1:$A$54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10</c:v>
                </c:pt>
                <c:pt idx="27">
                  <c:v>20</c:v>
                </c:pt>
                <c:pt idx="28">
                  <c:v>30</c:v>
                </c:pt>
                <c:pt idx="29">
                  <c:v>0</c:v>
                </c:pt>
                <c:pt idx="30">
                  <c:v>10</c:v>
                </c:pt>
                <c:pt idx="31">
                  <c:v>20</c:v>
                </c:pt>
                <c:pt idx="32">
                  <c:v>30</c:v>
                </c:pt>
                <c:pt idx="33">
                  <c:v>40</c:v>
                </c:pt>
                <c:pt idx="34">
                  <c:v>50</c:v>
                </c:pt>
                <c:pt idx="35">
                  <c:v>60</c:v>
                </c:pt>
                <c:pt idx="36">
                  <c:v>70</c:v>
                </c:pt>
                <c:pt idx="37">
                  <c:v>80</c:v>
                </c:pt>
                <c:pt idx="38">
                  <c:v>90</c:v>
                </c:pt>
                <c:pt idx="39">
                  <c:v>100</c:v>
                </c:pt>
                <c:pt idx="40">
                  <c:v>110</c:v>
                </c:pt>
                <c:pt idx="41">
                  <c:v>120</c:v>
                </c:pt>
                <c:pt idx="42">
                  <c:v>130</c:v>
                </c:pt>
                <c:pt idx="43">
                  <c:v>140</c:v>
                </c:pt>
                <c:pt idx="44">
                  <c:v>150</c:v>
                </c:pt>
                <c:pt idx="45">
                  <c:v>160</c:v>
                </c:pt>
                <c:pt idx="46">
                  <c:v>170</c:v>
                </c:pt>
                <c:pt idx="47">
                  <c:v>180</c:v>
                </c:pt>
                <c:pt idx="48">
                  <c:v>190</c:v>
                </c:pt>
                <c:pt idx="49">
                  <c:v>200</c:v>
                </c:pt>
                <c:pt idx="50">
                  <c:v>210</c:v>
                </c:pt>
                <c:pt idx="51">
                  <c:v>220</c:v>
                </c:pt>
                <c:pt idx="52">
                  <c:v>230</c:v>
                </c:pt>
                <c:pt idx="53">
                  <c:v>240</c:v>
                </c:pt>
              </c:numCache>
            </c:numRef>
          </c:xVal>
          <c:yVal>
            <c:numRef>
              <c:f>Arkusz1!$B$1:$B$54</c:f>
              <c:numCache>
                <c:formatCode>General</c:formatCode>
                <c:ptCount val="54"/>
                <c:pt idx="0">
                  <c:v>17.899999999999999</c:v>
                </c:pt>
                <c:pt idx="1">
                  <c:v>31.37</c:v>
                </c:pt>
                <c:pt idx="2">
                  <c:v>30.6</c:v>
                </c:pt>
                <c:pt idx="3">
                  <c:v>25.6</c:v>
                </c:pt>
                <c:pt idx="4">
                  <c:v>25.98</c:v>
                </c:pt>
                <c:pt idx="5">
                  <c:v>24.24</c:v>
                </c:pt>
                <c:pt idx="6">
                  <c:v>20</c:v>
                </c:pt>
                <c:pt idx="7">
                  <c:v>18.41</c:v>
                </c:pt>
                <c:pt idx="8">
                  <c:v>16.88</c:v>
                </c:pt>
                <c:pt idx="9">
                  <c:v>13.91</c:v>
                </c:pt>
                <c:pt idx="10">
                  <c:v>11.77</c:v>
                </c:pt>
                <c:pt idx="11">
                  <c:v>10.06</c:v>
                </c:pt>
                <c:pt idx="12">
                  <c:v>6.81</c:v>
                </c:pt>
                <c:pt idx="13">
                  <c:v>3.81</c:v>
                </c:pt>
                <c:pt idx="14">
                  <c:v>1.4</c:v>
                </c:pt>
                <c:pt idx="15">
                  <c:v>-1.45</c:v>
                </c:pt>
                <c:pt idx="16">
                  <c:v>-5.2</c:v>
                </c:pt>
                <c:pt idx="17">
                  <c:v>-8.9</c:v>
                </c:pt>
                <c:pt idx="18">
                  <c:v>-11.38</c:v>
                </c:pt>
                <c:pt idx="19">
                  <c:v>-14.8</c:v>
                </c:pt>
                <c:pt idx="20">
                  <c:v>-19.079999999999998</c:v>
                </c:pt>
                <c:pt idx="21">
                  <c:v>-21.63</c:v>
                </c:pt>
                <c:pt idx="22">
                  <c:v>-25.15</c:v>
                </c:pt>
                <c:pt idx="23">
                  <c:v>-30.31</c:v>
                </c:pt>
                <c:pt idx="24">
                  <c:v>-28.57</c:v>
                </c:pt>
                <c:pt idx="25">
                  <c:v>-20.2</c:v>
                </c:pt>
                <c:pt idx="26">
                  <c:v>32.020000000000003</c:v>
                </c:pt>
                <c:pt idx="27">
                  <c:v>30.5</c:v>
                </c:pt>
                <c:pt idx="28">
                  <c:v>25.41</c:v>
                </c:pt>
                <c:pt idx="29">
                  <c:v>19.149999999999999</c:v>
                </c:pt>
                <c:pt idx="30">
                  <c:v>32.46</c:v>
                </c:pt>
                <c:pt idx="31">
                  <c:v>29.61</c:v>
                </c:pt>
                <c:pt idx="32">
                  <c:v>24.71</c:v>
                </c:pt>
                <c:pt idx="33">
                  <c:v>25.68</c:v>
                </c:pt>
                <c:pt idx="34">
                  <c:v>23.31</c:v>
                </c:pt>
                <c:pt idx="35">
                  <c:v>19.05</c:v>
                </c:pt>
                <c:pt idx="36">
                  <c:v>17.78</c:v>
                </c:pt>
                <c:pt idx="37">
                  <c:v>16.100000000000001</c:v>
                </c:pt>
                <c:pt idx="38">
                  <c:v>13.02</c:v>
                </c:pt>
                <c:pt idx="39">
                  <c:v>11.1</c:v>
                </c:pt>
                <c:pt idx="40">
                  <c:v>9.07</c:v>
                </c:pt>
                <c:pt idx="41">
                  <c:v>6.05</c:v>
                </c:pt>
                <c:pt idx="42">
                  <c:v>3.09</c:v>
                </c:pt>
                <c:pt idx="43">
                  <c:v>0.75</c:v>
                </c:pt>
                <c:pt idx="44">
                  <c:v>-2.36</c:v>
                </c:pt>
                <c:pt idx="45">
                  <c:v>-6.31</c:v>
                </c:pt>
                <c:pt idx="46">
                  <c:v>-9.68</c:v>
                </c:pt>
                <c:pt idx="47">
                  <c:v>-12.25</c:v>
                </c:pt>
                <c:pt idx="48">
                  <c:v>-15.7</c:v>
                </c:pt>
                <c:pt idx="49">
                  <c:v>-19.8</c:v>
                </c:pt>
                <c:pt idx="50">
                  <c:v>-22.19</c:v>
                </c:pt>
                <c:pt idx="51">
                  <c:v>-26.15</c:v>
                </c:pt>
                <c:pt idx="52">
                  <c:v>-30.94</c:v>
                </c:pt>
                <c:pt idx="53">
                  <c:v>-28.7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17-4CBD-8366-A8F43954A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427328"/>
        <c:axId val="1228420128"/>
      </c:scatterChart>
      <c:valAx>
        <c:axId val="12284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8420128"/>
        <c:crosses val="autoZero"/>
        <c:crossBetween val="midCat"/>
      </c:valAx>
      <c:valAx>
        <c:axId val="122842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84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6</xdr:row>
      <xdr:rowOff>166687</xdr:rowOff>
    </xdr:from>
    <xdr:to>
      <xdr:col>18</xdr:col>
      <xdr:colOff>295275</xdr:colOff>
      <xdr:row>37</xdr:row>
      <xdr:rowOff>85725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5500D20-70FC-4F1A-A312-4F071E136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13</xdr:row>
      <xdr:rowOff>147637</xdr:rowOff>
    </xdr:from>
    <xdr:to>
      <xdr:col>18</xdr:col>
      <xdr:colOff>228600</xdr:colOff>
      <xdr:row>44</xdr:row>
      <xdr:rowOff>66675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AED0EAD-696A-3186-5281-DB1E55DFB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EAA68D-E5C6-4CB4-9FB6-ACA68D4180C4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4" dataBound="0" tableColumnId="4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E436E-032E-4B40-BFFD-8B606BEA5F69}" name="Tabela_ZS_computed_values" displayName="Tabela_ZS_computed_values" ref="A1:D30" tableType="queryTable" totalsRowShown="0">
  <autoFilter ref="A1:D30" xr:uid="{56FE436E-032E-4B40-BFFD-8B606BEA5F69}"/>
  <tableColumns count="4">
    <tableColumn id="1" xr3:uid="{29A061AF-AE55-46A8-B333-9F4D142CA41A}" uniqueName="1" name="Column1" queryTableFieldId="1" dataDxfId="3"/>
    <tableColumn id="2" xr3:uid="{D8CC80AD-40F5-4A70-B848-717D53010E9F}" uniqueName="2" name="Column2" queryTableFieldId="2" dataDxfId="2"/>
    <tableColumn id="4" xr3:uid="{AC089616-B459-4245-85EB-DD81804EF560}" uniqueName="4" name="Column22" queryTableFieldId="4" dataDxfId="1">
      <calculatedColumnFormula>Tabela_ZS_computed_values[[#This Row],[Column1]]*1000-14</calculatedColumnFormula>
    </tableColumn>
    <tableColumn id="3" xr3:uid="{E742765C-9688-4060-88F0-72C11D0146F2}" uniqueName="3" name="Column3" queryTableFieldId="3" dataDxfId="0">
      <calculatedColumnFormula>(Tabela_ZS_computed_values[[#This Row],[Column2]]/100)*$G$2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53BA-477F-4C88-8B52-FCAC00AB6876}">
  <dimension ref="A1:G30"/>
  <sheetViews>
    <sheetView workbookViewId="0">
      <selection activeCell="G3" sqref="G3"/>
    </sheetView>
  </sheetViews>
  <sheetFormatPr defaultRowHeight="15" x14ac:dyDescent="0.25"/>
  <cols>
    <col min="1" max="2" width="11.140625" bestFit="1" customWidth="1"/>
    <col min="3" max="3" width="11.140625" customWidth="1"/>
    <col min="4" max="4" width="15.140625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3</v>
      </c>
    </row>
    <row r="2" spans="1:7" x14ac:dyDescent="0.25">
      <c r="A2">
        <v>0.28000000000000003</v>
      </c>
      <c r="B2">
        <v>-2928.76</v>
      </c>
      <c r="C2">
        <f>Tabela_ZS_computed_values[[#This Row],[Column1]]*1000-14</f>
        <v>266</v>
      </c>
      <c r="D2">
        <f>(Tabela_ZS_computed_values[[#This Row],[Column2]]/100)*$G$2</f>
        <v>-29.287600000000001</v>
      </c>
      <c r="F2" t="s">
        <v>5</v>
      </c>
      <c r="G2">
        <v>1</v>
      </c>
    </row>
    <row r="3" spans="1:7" x14ac:dyDescent="0.25">
      <c r="A3">
        <v>0.27</v>
      </c>
      <c r="B3">
        <v>-2755.25</v>
      </c>
      <c r="C3">
        <f>Tabela_ZS_computed_values[[#This Row],[Column1]]*1000-14</f>
        <v>256</v>
      </c>
      <c r="D3">
        <f>(Tabela_ZS_computed_values[[#This Row],[Column2]]/100)*$G$2</f>
        <v>-27.552499999999998</v>
      </c>
    </row>
    <row r="4" spans="1:7" x14ac:dyDescent="0.25">
      <c r="A4">
        <v>0.26</v>
      </c>
      <c r="B4">
        <v>-2491.21</v>
      </c>
      <c r="C4">
        <f>Tabela_ZS_computed_values[[#This Row],[Column1]]*1000-14</f>
        <v>246</v>
      </c>
      <c r="D4">
        <f>(Tabela_ZS_computed_values[[#This Row],[Column2]]/100)*$G$2</f>
        <v>-24.912099999999999</v>
      </c>
    </row>
    <row r="5" spans="1:7" x14ac:dyDescent="0.25">
      <c r="A5">
        <v>0.25</v>
      </c>
      <c r="B5">
        <v>-2248.8000000000002</v>
      </c>
      <c r="C5">
        <f>Tabela_ZS_computed_values[[#This Row],[Column1]]*1000-14</f>
        <v>236</v>
      </c>
      <c r="D5">
        <f>(Tabela_ZS_computed_values[[#This Row],[Column2]]/100)*$G$2</f>
        <v>-22.488000000000003</v>
      </c>
    </row>
    <row r="6" spans="1:7" x14ac:dyDescent="0.25">
      <c r="A6">
        <v>0.24</v>
      </c>
      <c r="B6">
        <v>-2049.4299999999998</v>
      </c>
      <c r="C6">
        <f>Tabela_ZS_computed_values[[#This Row],[Column1]]*1000-14</f>
        <v>226</v>
      </c>
      <c r="D6">
        <f>(Tabela_ZS_computed_values[[#This Row],[Column2]]/100)*$G$2</f>
        <v>-20.494299999999999</v>
      </c>
    </row>
    <row r="7" spans="1:7" x14ac:dyDescent="0.25">
      <c r="A7">
        <v>0.23</v>
      </c>
      <c r="B7">
        <v>-1871.62</v>
      </c>
      <c r="C7">
        <f>Tabela_ZS_computed_values[[#This Row],[Column1]]*1000-14</f>
        <v>216</v>
      </c>
      <c r="D7">
        <f>(Tabela_ZS_computed_values[[#This Row],[Column2]]/100)*$G$2</f>
        <v>-18.716200000000001</v>
      </c>
    </row>
    <row r="8" spans="1:7" x14ac:dyDescent="0.25">
      <c r="A8">
        <v>0.22</v>
      </c>
      <c r="B8">
        <v>-1691.02</v>
      </c>
      <c r="C8">
        <f>Tabela_ZS_computed_values[[#This Row],[Column1]]*1000-14</f>
        <v>206</v>
      </c>
      <c r="D8">
        <f>(Tabela_ZS_computed_values[[#This Row],[Column2]]/100)*$G$2</f>
        <v>-16.9102</v>
      </c>
    </row>
    <row r="9" spans="1:7" x14ac:dyDescent="0.25">
      <c r="A9">
        <v>0.21</v>
      </c>
      <c r="B9">
        <v>-1504.06</v>
      </c>
      <c r="C9">
        <f>Tabela_ZS_computed_values[[#This Row],[Column1]]*1000-14</f>
        <v>196</v>
      </c>
      <c r="D9">
        <f>(Tabela_ZS_computed_values[[#This Row],[Column2]]/100)*$G$2</f>
        <v>-15.0406</v>
      </c>
    </row>
    <row r="10" spans="1:7" x14ac:dyDescent="0.25">
      <c r="A10">
        <v>0.2</v>
      </c>
      <c r="B10">
        <v>-1312.2</v>
      </c>
      <c r="C10">
        <f>Tabela_ZS_computed_values[[#This Row],[Column1]]*1000-14</f>
        <v>186</v>
      </c>
      <c r="D10">
        <f>(Tabela_ZS_computed_values[[#This Row],[Column2]]/100)*$G$2</f>
        <v>-13.122</v>
      </c>
    </row>
    <row r="11" spans="1:7" x14ac:dyDescent="0.25">
      <c r="A11">
        <v>0.19</v>
      </c>
      <c r="B11">
        <v>-1100.94</v>
      </c>
      <c r="C11">
        <f>Tabela_ZS_computed_values[[#This Row],[Column1]]*1000-14</f>
        <v>176</v>
      </c>
      <c r="D11">
        <f>(Tabela_ZS_computed_values[[#This Row],[Column2]]/100)*$G$2</f>
        <v>-11.009400000000001</v>
      </c>
    </row>
    <row r="12" spans="1:7" x14ac:dyDescent="0.25">
      <c r="A12">
        <v>0.18</v>
      </c>
      <c r="B12">
        <v>-872.14</v>
      </c>
      <c r="C12">
        <f>Tabela_ZS_computed_values[[#This Row],[Column1]]*1000-14</f>
        <v>166</v>
      </c>
      <c r="D12">
        <f>(Tabela_ZS_computed_values[[#This Row],[Column2]]/100)*$G$2</f>
        <v>-8.7213999999999992</v>
      </c>
    </row>
    <row r="13" spans="1:7" x14ac:dyDescent="0.25">
      <c r="A13">
        <v>0.17</v>
      </c>
      <c r="B13">
        <v>-652.221</v>
      </c>
      <c r="C13">
        <f>Tabela_ZS_computed_values[[#This Row],[Column1]]*1000-14</f>
        <v>156</v>
      </c>
      <c r="D13">
        <f>(Tabela_ZS_computed_values[[#This Row],[Column2]]/100)*$G$2</f>
        <v>-6.5222100000000003</v>
      </c>
    </row>
    <row r="14" spans="1:7" x14ac:dyDescent="0.25">
      <c r="A14">
        <v>0.16</v>
      </c>
      <c r="B14">
        <v>-456.70299999999997</v>
      </c>
      <c r="C14">
        <f>Tabela_ZS_computed_values[[#This Row],[Column1]]*1000-14</f>
        <v>146</v>
      </c>
      <c r="D14">
        <f>(Tabela_ZS_computed_values[[#This Row],[Column2]]/100)*$G$2</f>
        <v>-4.5670299999999999</v>
      </c>
    </row>
    <row r="15" spans="1:7" x14ac:dyDescent="0.25">
      <c r="A15">
        <v>0.15</v>
      </c>
      <c r="B15">
        <v>-245.995</v>
      </c>
      <c r="C15">
        <f>Tabela_ZS_computed_values[[#This Row],[Column1]]*1000-14</f>
        <v>136</v>
      </c>
      <c r="D15">
        <f>(Tabela_ZS_computed_values[[#This Row],[Column2]]/100)*$G$2</f>
        <v>-2.4599500000000001</v>
      </c>
    </row>
    <row r="16" spans="1:7" x14ac:dyDescent="0.25">
      <c r="A16">
        <v>0.14000000000000001</v>
      </c>
      <c r="B16">
        <v>23.514600000000002</v>
      </c>
      <c r="C16">
        <f>Tabela_ZS_computed_values[[#This Row],[Column1]]*1000-14</f>
        <v>126</v>
      </c>
      <c r="D16">
        <f>(Tabela_ZS_computed_values[[#This Row],[Column2]]/100)*$G$2</f>
        <v>0.23514600000000002</v>
      </c>
    </row>
    <row r="17" spans="1:4" x14ac:dyDescent="0.25">
      <c r="A17">
        <v>0.13</v>
      </c>
      <c r="B17">
        <v>296.81599999999997</v>
      </c>
      <c r="C17">
        <f>Tabela_ZS_computed_values[[#This Row],[Column1]]*1000-14</f>
        <v>116</v>
      </c>
      <c r="D17">
        <f>(Tabela_ZS_computed_values[[#This Row],[Column2]]/100)*$G$2</f>
        <v>2.9681599999999997</v>
      </c>
    </row>
    <row r="18" spans="1:4" x14ac:dyDescent="0.25">
      <c r="A18">
        <v>0.12</v>
      </c>
      <c r="B18">
        <v>523.82899999999995</v>
      </c>
      <c r="C18">
        <f>Tabela_ZS_computed_values[[#This Row],[Column1]]*1000-14</f>
        <v>106</v>
      </c>
      <c r="D18">
        <f>(Tabela_ZS_computed_values[[#This Row],[Column2]]/100)*$G$2</f>
        <v>5.2382899999999992</v>
      </c>
    </row>
    <row r="19" spans="1:4" x14ac:dyDescent="0.25">
      <c r="A19">
        <v>0.11</v>
      </c>
      <c r="B19">
        <v>753.62599999999998</v>
      </c>
      <c r="C19">
        <f>Tabela_ZS_computed_values[[#This Row],[Column1]]*1000-14</f>
        <v>96</v>
      </c>
      <c r="D19">
        <f>(Tabela_ZS_computed_values[[#This Row],[Column2]]/100)*$G$2</f>
        <v>7.5362599999999995</v>
      </c>
    </row>
    <row r="20" spans="1:4" x14ac:dyDescent="0.25">
      <c r="A20">
        <v>0.1</v>
      </c>
      <c r="B20">
        <v>1015.75</v>
      </c>
      <c r="C20">
        <f>Tabela_ZS_computed_values[[#This Row],[Column1]]*1000-14</f>
        <v>86</v>
      </c>
      <c r="D20">
        <f>(Tabela_ZS_computed_values[[#This Row],[Column2]]/100)*$G$2</f>
        <v>10.157500000000001</v>
      </c>
    </row>
    <row r="21" spans="1:4" x14ac:dyDescent="0.25">
      <c r="A21">
        <v>0.09</v>
      </c>
      <c r="B21">
        <v>1265.3599999999999</v>
      </c>
      <c r="C21">
        <f>Tabela_ZS_computed_values[[#This Row],[Column1]]*1000-14</f>
        <v>76</v>
      </c>
      <c r="D21">
        <f>(Tabela_ZS_computed_values[[#This Row],[Column2]]/100)*$G$2</f>
        <v>12.653599999999999</v>
      </c>
    </row>
    <row r="22" spans="1:4" x14ac:dyDescent="0.25">
      <c r="A22">
        <v>0.08</v>
      </c>
      <c r="B22">
        <v>1482.26</v>
      </c>
      <c r="C22">
        <f>Tabela_ZS_computed_values[[#This Row],[Column1]]*1000-14</f>
        <v>66</v>
      </c>
      <c r="D22">
        <f>(Tabela_ZS_computed_values[[#This Row],[Column2]]/100)*$G$2</f>
        <v>14.8226</v>
      </c>
    </row>
    <row r="23" spans="1:4" x14ac:dyDescent="0.25">
      <c r="A23">
        <v>7.0000000000000007E-2</v>
      </c>
      <c r="B23">
        <v>1695.53</v>
      </c>
      <c r="C23">
        <f>Tabela_ZS_computed_values[[#This Row],[Column1]]*1000-14</f>
        <v>56</v>
      </c>
      <c r="D23">
        <f>(Tabela_ZS_computed_values[[#This Row],[Column2]]/100)*$G$2</f>
        <v>16.955300000000001</v>
      </c>
    </row>
    <row r="24" spans="1:4" x14ac:dyDescent="0.25">
      <c r="A24">
        <v>0.06</v>
      </c>
      <c r="B24">
        <v>1920.46</v>
      </c>
      <c r="C24">
        <f>Tabela_ZS_computed_values[[#This Row],[Column1]]*1000-14</f>
        <v>46</v>
      </c>
      <c r="D24">
        <f>(Tabela_ZS_computed_values[[#This Row],[Column2]]/100)*$G$2</f>
        <v>19.204599999999999</v>
      </c>
    </row>
    <row r="25" spans="1:4" x14ac:dyDescent="0.25">
      <c r="A25">
        <v>0.05</v>
      </c>
      <c r="B25">
        <v>2163.42</v>
      </c>
      <c r="C25">
        <f>Tabela_ZS_computed_values[[#This Row],[Column1]]*1000-14</f>
        <v>36</v>
      </c>
      <c r="D25">
        <f>(Tabela_ZS_computed_values[[#This Row],[Column2]]/100)*$G$2</f>
        <v>21.6342</v>
      </c>
    </row>
    <row r="26" spans="1:4" x14ac:dyDescent="0.25">
      <c r="A26">
        <v>0.04</v>
      </c>
      <c r="B26">
        <v>2441.8000000000002</v>
      </c>
      <c r="C26">
        <f>Tabela_ZS_computed_values[[#This Row],[Column1]]*1000-14</f>
        <v>26</v>
      </c>
      <c r="D26">
        <f>(Tabela_ZS_computed_values[[#This Row],[Column2]]/100)*$G$2</f>
        <v>24.418000000000003</v>
      </c>
    </row>
    <row r="27" spans="1:4" x14ac:dyDescent="0.25">
      <c r="A27">
        <v>0.03</v>
      </c>
      <c r="B27">
        <v>2734.34</v>
      </c>
      <c r="C27">
        <f>Tabela_ZS_computed_values[[#This Row],[Column1]]*1000-14</f>
        <v>16</v>
      </c>
      <c r="D27">
        <f>(Tabela_ZS_computed_values[[#This Row],[Column2]]/100)*$G$2</f>
        <v>27.343400000000003</v>
      </c>
    </row>
    <row r="28" spans="1:4" x14ac:dyDescent="0.25">
      <c r="A28">
        <v>0.02</v>
      </c>
      <c r="B28">
        <v>2915.99</v>
      </c>
      <c r="C28">
        <f>Tabela_ZS_computed_values[[#This Row],[Column1]]*1000-14</f>
        <v>6</v>
      </c>
      <c r="D28">
        <f>(Tabela_ZS_computed_values[[#This Row],[Column2]]/100)*$G$2</f>
        <v>29.159899999999997</v>
      </c>
    </row>
    <row r="29" spans="1:4" x14ac:dyDescent="0.25">
      <c r="A29" t="s">
        <v>2</v>
      </c>
      <c r="B29" t="s">
        <v>2</v>
      </c>
      <c r="C29" t="e">
        <f>Tabela_ZS_computed_values[[#This Row],[Column1]]*1000-14</f>
        <v>#VALUE!</v>
      </c>
      <c r="D29" t="e">
        <f>(Tabela_ZS_computed_values[[#This Row],[Column2]]/100)*$G$2</f>
        <v>#VALUE!</v>
      </c>
    </row>
    <row r="30" spans="1:4" x14ac:dyDescent="0.25">
      <c r="A30" t="s">
        <v>2</v>
      </c>
      <c r="B30" t="s">
        <v>2</v>
      </c>
      <c r="C30" t="e">
        <f>Tabela_ZS_computed_values[[#This Row],[Column1]]*1000-14</f>
        <v>#VALUE!</v>
      </c>
      <c r="D30" t="e">
        <f>(Tabela_ZS_computed_values[[#This Row],[Column2]]/100)*$G$2</f>
        <v>#VALUE!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C7DC-89C1-423E-91D5-94159F8ED6E9}">
  <dimension ref="A1:V57"/>
  <sheetViews>
    <sheetView tabSelected="1" workbookViewId="0">
      <selection activeCell="V9" sqref="V9"/>
    </sheetView>
  </sheetViews>
  <sheetFormatPr defaultRowHeight="15" x14ac:dyDescent="0.25"/>
  <sheetData>
    <row r="1" spans="1:22" x14ac:dyDescent="0.25">
      <c r="A1">
        <v>0</v>
      </c>
      <c r="B1">
        <v>25.1</v>
      </c>
      <c r="C1">
        <f>B1*100</f>
        <v>2510</v>
      </c>
    </row>
    <row r="2" spans="1:22" x14ac:dyDescent="0.25">
      <c r="A2">
        <v>10</v>
      </c>
      <c r="B2">
        <v>32.799999999999997</v>
      </c>
      <c r="C2">
        <f t="shared" ref="C2:C57" si="0">B2*100</f>
        <v>3279.9999999999995</v>
      </c>
    </row>
    <row r="3" spans="1:22" x14ac:dyDescent="0.25">
      <c r="A3">
        <v>20</v>
      </c>
      <c r="B3">
        <v>28.14</v>
      </c>
      <c r="C3">
        <f t="shared" si="0"/>
        <v>2814</v>
      </c>
    </row>
    <row r="4" spans="1:22" x14ac:dyDescent="0.25">
      <c r="A4">
        <v>30</v>
      </c>
      <c r="B4">
        <v>24.36</v>
      </c>
      <c r="C4">
        <f t="shared" si="0"/>
        <v>2436</v>
      </c>
    </row>
    <row r="5" spans="1:22" x14ac:dyDescent="0.25">
      <c r="A5">
        <v>40</v>
      </c>
      <c r="B5">
        <v>24.7</v>
      </c>
      <c r="C5">
        <f t="shared" si="0"/>
        <v>2470</v>
      </c>
    </row>
    <row r="6" spans="1:22" x14ac:dyDescent="0.25">
      <c r="A6">
        <v>50</v>
      </c>
      <c r="B6">
        <v>21.26</v>
      </c>
      <c r="C6">
        <f t="shared" si="0"/>
        <v>2126</v>
      </c>
    </row>
    <row r="7" spans="1:22" x14ac:dyDescent="0.25">
      <c r="A7">
        <v>60</v>
      </c>
      <c r="B7">
        <v>17.52</v>
      </c>
      <c r="C7">
        <f t="shared" si="0"/>
        <v>1752</v>
      </c>
    </row>
    <row r="8" spans="1:22" x14ac:dyDescent="0.25">
      <c r="A8">
        <v>70</v>
      </c>
      <c r="B8">
        <v>16.45</v>
      </c>
      <c r="C8">
        <f t="shared" si="0"/>
        <v>1645</v>
      </c>
      <c r="V8">
        <f>25*10000/1000</f>
        <v>250</v>
      </c>
    </row>
    <row r="9" spans="1:22" x14ac:dyDescent="0.25">
      <c r="A9">
        <v>80</v>
      </c>
      <c r="B9">
        <v>14.25</v>
      </c>
      <c r="C9">
        <f t="shared" si="0"/>
        <v>1425</v>
      </c>
    </row>
    <row r="10" spans="1:22" x14ac:dyDescent="0.25">
      <c r="A10">
        <v>90</v>
      </c>
      <c r="B10">
        <v>10.83</v>
      </c>
      <c r="C10">
        <f t="shared" si="0"/>
        <v>1083</v>
      </c>
    </row>
    <row r="11" spans="1:22" x14ac:dyDescent="0.25">
      <c r="A11">
        <v>100</v>
      </c>
      <c r="B11">
        <v>8.6300000000000008</v>
      </c>
      <c r="C11">
        <f t="shared" si="0"/>
        <v>863.00000000000011</v>
      </c>
    </row>
    <row r="12" spans="1:22" x14ac:dyDescent="0.25">
      <c r="A12">
        <v>110</v>
      </c>
      <c r="B12">
        <v>6.22</v>
      </c>
      <c r="C12">
        <f t="shared" si="0"/>
        <v>622</v>
      </c>
    </row>
    <row r="13" spans="1:22" x14ac:dyDescent="0.25">
      <c r="A13">
        <v>120</v>
      </c>
      <c r="B13">
        <v>2.2999999999999998</v>
      </c>
      <c r="C13">
        <f t="shared" si="0"/>
        <v>229.99999999999997</v>
      </c>
    </row>
    <row r="14" spans="1:22" x14ac:dyDescent="0.25">
      <c r="A14">
        <v>130</v>
      </c>
      <c r="B14">
        <v>-1.07</v>
      </c>
      <c r="C14">
        <f t="shared" si="0"/>
        <v>-107</v>
      </c>
    </row>
    <row r="15" spans="1:22" x14ac:dyDescent="0.25">
      <c r="A15">
        <v>140</v>
      </c>
      <c r="B15">
        <v>-3.27</v>
      </c>
      <c r="C15">
        <f t="shared" si="0"/>
        <v>-327</v>
      </c>
    </row>
    <row r="16" spans="1:22" x14ac:dyDescent="0.25">
      <c r="A16">
        <v>150</v>
      </c>
      <c r="B16">
        <v>-5.72</v>
      </c>
      <c r="C16">
        <f t="shared" si="0"/>
        <v>-572</v>
      </c>
    </row>
    <row r="17" spans="1:3" x14ac:dyDescent="0.25">
      <c r="A17">
        <v>160</v>
      </c>
      <c r="B17">
        <v>-8.89</v>
      </c>
      <c r="C17">
        <f t="shared" si="0"/>
        <v>-889</v>
      </c>
    </row>
    <row r="18" spans="1:3" x14ac:dyDescent="0.25">
      <c r="A18">
        <v>170</v>
      </c>
      <c r="B18">
        <v>-11.35</v>
      </c>
      <c r="C18">
        <f t="shared" si="0"/>
        <v>-1135</v>
      </c>
    </row>
    <row r="19" spans="1:3" x14ac:dyDescent="0.25">
      <c r="A19">
        <v>180</v>
      </c>
      <c r="B19">
        <v>-13.09</v>
      </c>
      <c r="C19">
        <f t="shared" si="0"/>
        <v>-1309</v>
      </c>
    </row>
    <row r="20" spans="1:3" x14ac:dyDescent="0.25">
      <c r="A20">
        <v>190</v>
      </c>
      <c r="B20">
        <v>-15.79</v>
      </c>
      <c r="C20">
        <f t="shared" si="0"/>
        <v>-1579</v>
      </c>
    </row>
    <row r="21" spans="1:3" x14ac:dyDescent="0.25">
      <c r="A21">
        <v>200</v>
      </c>
      <c r="B21">
        <v>-18.16</v>
      </c>
      <c r="C21">
        <f t="shared" si="0"/>
        <v>-1816</v>
      </c>
    </row>
    <row r="22" spans="1:3" x14ac:dyDescent="0.25">
      <c r="A22">
        <v>210</v>
      </c>
      <c r="B22">
        <v>-18.850000000000001</v>
      </c>
      <c r="C22">
        <f t="shared" si="0"/>
        <v>-1885.0000000000002</v>
      </c>
    </row>
    <row r="23" spans="1:3" x14ac:dyDescent="0.25">
      <c r="A23">
        <v>220</v>
      </c>
      <c r="B23">
        <v>-21.53</v>
      </c>
      <c r="C23">
        <f t="shared" si="0"/>
        <v>-2153</v>
      </c>
    </row>
    <row r="24" spans="1:3" x14ac:dyDescent="0.25">
      <c r="A24">
        <v>230</v>
      </c>
      <c r="B24">
        <v>-25.41</v>
      </c>
      <c r="C24">
        <f t="shared" si="0"/>
        <v>-2541</v>
      </c>
    </row>
    <row r="25" spans="1:3" x14ac:dyDescent="0.25">
      <c r="A25">
        <v>240</v>
      </c>
      <c r="B25">
        <v>-25.32</v>
      </c>
      <c r="C25">
        <f t="shared" si="0"/>
        <v>-2532</v>
      </c>
    </row>
    <row r="26" spans="1:3" x14ac:dyDescent="0.25">
      <c r="A26">
        <v>250</v>
      </c>
      <c r="B26">
        <v>-26.93</v>
      </c>
      <c r="C26">
        <f t="shared" si="0"/>
        <v>-2693</v>
      </c>
    </row>
    <row r="27" spans="1:3" x14ac:dyDescent="0.25">
      <c r="A27">
        <v>260</v>
      </c>
      <c r="B27">
        <v>-32.85</v>
      </c>
      <c r="C27">
        <f t="shared" si="0"/>
        <v>-3285</v>
      </c>
    </row>
    <row r="28" spans="1:3" x14ac:dyDescent="0.25">
      <c r="A28">
        <v>270</v>
      </c>
      <c r="B28">
        <v>-26.57</v>
      </c>
      <c r="C28">
        <f t="shared" si="0"/>
        <v>-2657</v>
      </c>
    </row>
    <row r="29" spans="1:3" x14ac:dyDescent="0.25">
      <c r="A29">
        <v>280</v>
      </c>
      <c r="B29">
        <v>-8.91</v>
      </c>
      <c r="C29">
        <f t="shared" si="0"/>
        <v>-891</v>
      </c>
    </row>
    <row r="30" spans="1:3" x14ac:dyDescent="0.25">
      <c r="A30">
        <v>0</v>
      </c>
      <c r="B30">
        <v>26.46</v>
      </c>
      <c r="C30">
        <f t="shared" si="0"/>
        <v>2646</v>
      </c>
    </row>
    <row r="31" spans="1:3" x14ac:dyDescent="0.25">
      <c r="A31">
        <v>10</v>
      </c>
      <c r="B31">
        <v>32.22</v>
      </c>
      <c r="C31">
        <f t="shared" si="0"/>
        <v>3222</v>
      </c>
    </row>
    <row r="32" spans="1:3" x14ac:dyDescent="0.25">
      <c r="A32">
        <v>20</v>
      </c>
      <c r="B32">
        <v>27.19</v>
      </c>
      <c r="C32">
        <f t="shared" si="0"/>
        <v>2719</v>
      </c>
    </row>
    <row r="33" spans="1:3" x14ac:dyDescent="0.25">
      <c r="A33">
        <v>30</v>
      </c>
      <c r="B33">
        <v>23.7</v>
      </c>
      <c r="C33">
        <f t="shared" si="0"/>
        <v>2370</v>
      </c>
    </row>
    <row r="34" spans="1:3" x14ac:dyDescent="0.25">
      <c r="A34">
        <v>40</v>
      </c>
      <c r="B34">
        <v>23.93</v>
      </c>
      <c r="C34">
        <f t="shared" si="0"/>
        <v>2393</v>
      </c>
    </row>
    <row r="35" spans="1:3" x14ac:dyDescent="0.25">
      <c r="A35">
        <v>50</v>
      </c>
      <c r="B35">
        <v>20.149999999999999</v>
      </c>
      <c r="C35">
        <f t="shared" si="0"/>
        <v>2014.9999999999998</v>
      </c>
    </row>
    <row r="36" spans="1:3" x14ac:dyDescent="0.25">
      <c r="A36">
        <v>60</v>
      </c>
      <c r="B36">
        <v>16.7</v>
      </c>
      <c r="C36">
        <f t="shared" si="0"/>
        <v>1670</v>
      </c>
    </row>
    <row r="37" spans="1:3" x14ac:dyDescent="0.25">
      <c r="A37">
        <v>70</v>
      </c>
      <c r="B37">
        <v>15.73</v>
      </c>
      <c r="C37">
        <f t="shared" si="0"/>
        <v>1573</v>
      </c>
    </row>
    <row r="38" spans="1:3" x14ac:dyDescent="0.25">
      <c r="A38">
        <v>80</v>
      </c>
      <c r="B38">
        <v>13.48</v>
      </c>
      <c r="C38">
        <f t="shared" si="0"/>
        <v>1348</v>
      </c>
    </row>
    <row r="39" spans="1:3" x14ac:dyDescent="0.25">
      <c r="A39">
        <v>90</v>
      </c>
      <c r="B39">
        <v>10.210000000000001</v>
      </c>
      <c r="C39">
        <f t="shared" si="0"/>
        <v>1021.0000000000001</v>
      </c>
    </row>
    <row r="40" spans="1:3" x14ac:dyDescent="0.25">
      <c r="A40">
        <v>100</v>
      </c>
      <c r="B40">
        <v>7.94</v>
      </c>
      <c r="C40">
        <f t="shared" si="0"/>
        <v>794</v>
      </c>
    </row>
    <row r="41" spans="1:3" x14ac:dyDescent="0.25">
      <c r="A41">
        <v>110</v>
      </c>
      <c r="B41">
        <v>5.47</v>
      </c>
      <c r="C41">
        <f t="shared" si="0"/>
        <v>547</v>
      </c>
    </row>
    <row r="42" spans="1:3" x14ac:dyDescent="0.25">
      <c r="A42">
        <v>120</v>
      </c>
      <c r="B42">
        <v>1.63</v>
      </c>
      <c r="C42">
        <f t="shared" si="0"/>
        <v>163</v>
      </c>
    </row>
    <row r="43" spans="1:3" x14ac:dyDescent="0.25">
      <c r="A43">
        <v>130</v>
      </c>
      <c r="B43">
        <v>-1.72</v>
      </c>
      <c r="C43">
        <f t="shared" si="0"/>
        <v>-172</v>
      </c>
    </row>
    <row r="44" spans="1:3" x14ac:dyDescent="0.25">
      <c r="A44">
        <v>140</v>
      </c>
      <c r="B44">
        <v>-3.86</v>
      </c>
      <c r="C44">
        <f t="shared" si="0"/>
        <v>-386</v>
      </c>
    </row>
    <row r="45" spans="1:3" x14ac:dyDescent="0.25">
      <c r="A45">
        <v>150</v>
      </c>
      <c r="B45">
        <v>-6.38</v>
      </c>
      <c r="C45">
        <f t="shared" si="0"/>
        <v>-638</v>
      </c>
    </row>
    <row r="46" spans="1:3" x14ac:dyDescent="0.25">
      <c r="A46">
        <v>160</v>
      </c>
      <c r="B46">
        <v>-9.51</v>
      </c>
      <c r="C46">
        <f t="shared" si="0"/>
        <v>-951</v>
      </c>
    </row>
    <row r="47" spans="1:3" x14ac:dyDescent="0.25">
      <c r="A47">
        <v>170</v>
      </c>
      <c r="B47">
        <v>-11.97</v>
      </c>
      <c r="C47">
        <f t="shared" si="0"/>
        <v>-1197</v>
      </c>
    </row>
    <row r="48" spans="1:3" x14ac:dyDescent="0.25">
      <c r="A48">
        <v>180</v>
      </c>
      <c r="B48">
        <v>-13.7</v>
      </c>
      <c r="C48">
        <f t="shared" si="0"/>
        <v>-1370</v>
      </c>
    </row>
    <row r="49" spans="1:3" x14ac:dyDescent="0.25">
      <c r="A49">
        <v>190</v>
      </c>
      <c r="B49">
        <v>-16.57</v>
      </c>
      <c r="C49">
        <f t="shared" si="0"/>
        <v>-1657</v>
      </c>
    </row>
    <row r="50" spans="1:3" x14ac:dyDescent="0.25">
      <c r="A50">
        <v>200</v>
      </c>
      <c r="B50">
        <v>-18.8</v>
      </c>
      <c r="C50">
        <f t="shared" si="0"/>
        <v>-1880</v>
      </c>
    </row>
    <row r="51" spans="1:3" x14ac:dyDescent="0.25">
      <c r="A51">
        <v>210</v>
      </c>
      <c r="B51">
        <v>-19.399999999999999</v>
      </c>
      <c r="C51">
        <f t="shared" si="0"/>
        <v>-1939.9999999999998</v>
      </c>
    </row>
    <row r="52" spans="1:3" x14ac:dyDescent="0.25">
      <c r="A52">
        <v>220</v>
      </c>
      <c r="B52">
        <v>-22.46</v>
      </c>
      <c r="C52">
        <f t="shared" si="0"/>
        <v>-2246</v>
      </c>
    </row>
    <row r="53" spans="1:3" x14ac:dyDescent="0.25">
      <c r="A53">
        <v>230</v>
      </c>
      <c r="B53">
        <v>-26.1</v>
      </c>
      <c r="C53">
        <f t="shared" si="0"/>
        <v>-2610</v>
      </c>
    </row>
    <row r="54" spans="1:3" x14ac:dyDescent="0.25">
      <c r="A54">
        <v>240</v>
      </c>
      <c r="B54">
        <v>-25.74</v>
      </c>
      <c r="C54">
        <f t="shared" si="0"/>
        <v>-2574</v>
      </c>
    </row>
    <row r="55" spans="1:3" x14ac:dyDescent="0.25">
      <c r="A55">
        <v>250</v>
      </c>
      <c r="B55">
        <v>-27.86</v>
      </c>
      <c r="C55">
        <f t="shared" si="0"/>
        <v>-2786</v>
      </c>
    </row>
    <row r="56" spans="1:3" x14ac:dyDescent="0.25">
      <c r="A56">
        <v>260</v>
      </c>
      <c r="B56">
        <v>-33.67</v>
      </c>
      <c r="C56">
        <f t="shared" si="0"/>
        <v>-3367</v>
      </c>
    </row>
    <row r="57" spans="1:3" x14ac:dyDescent="0.25">
      <c r="A57">
        <v>270</v>
      </c>
      <c r="B57">
        <v>-27.4</v>
      </c>
      <c r="C57">
        <f t="shared" si="0"/>
        <v>-2740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9DB2-D0AF-44F0-B371-8C321A847BE9}">
  <dimension ref="A1:B55"/>
  <sheetViews>
    <sheetView topLeftCell="A10" workbookViewId="0">
      <selection activeCell="B56" sqref="B56"/>
    </sheetView>
  </sheetViews>
  <sheetFormatPr defaultRowHeight="15" x14ac:dyDescent="0.25"/>
  <sheetData>
    <row r="1" spans="1:2" x14ac:dyDescent="0.25">
      <c r="A1">
        <v>0</v>
      </c>
      <c r="B1">
        <v>17.899999999999999</v>
      </c>
    </row>
    <row r="2" spans="1:2" x14ac:dyDescent="0.25">
      <c r="A2">
        <v>10</v>
      </c>
      <c r="B2">
        <v>31.37</v>
      </c>
    </row>
    <row r="3" spans="1:2" x14ac:dyDescent="0.25">
      <c r="A3">
        <v>20</v>
      </c>
      <c r="B3">
        <v>30.6</v>
      </c>
    </row>
    <row r="4" spans="1:2" x14ac:dyDescent="0.25">
      <c r="A4">
        <v>30</v>
      </c>
      <c r="B4">
        <v>25.6</v>
      </c>
    </row>
    <row r="5" spans="1:2" x14ac:dyDescent="0.25">
      <c r="A5">
        <v>40</v>
      </c>
      <c r="B5">
        <v>25.98</v>
      </c>
    </row>
    <row r="6" spans="1:2" x14ac:dyDescent="0.25">
      <c r="A6">
        <v>50</v>
      </c>
      <c r="B6">
        <v>24.24</v>
      </c>
    </row>
    <row r="7" spans="1:2" x14ac:dyDescent="0.25">
      <c r="A7">
        <v>60</v>
      </c>
      <c r="B7">
        <v>20</v>
      </c>
    </row>
    <row r="8" spans="1:2" x14ac:dyDescent="0.25">
      <c r="A8">
        <v>70</v>
      </c>
      <c r="B8">
        <v>18.41</v>
      </c>
    </row>
    <row r="9" spans="1:2" x14ac:dyDescent="0.25">
      <c r="A9">
        <v>80</v>
      </c>
      <c r="B9">
        <v>16.88</v>
      </c>
    </row>
    <row r="10" spans="1:2" x14ac:dyDescent="0.25">
      <c r="A10">
        <v>90</v>
      </c>
      <c r="B10">
        <v>13.91</v>
      </c>
    </row>
    <row r="11" spans="1:2" x14ac:dyDescent="0.25">
      <c r="A11">
        <v>100</v>
      </c>
      <c r="B11">
        <v>11.77</v>
      </c>
    </row>
    <row r="12" spans="1:2" x14ac:dyDescent="0.25">
      <c r="A12">
        <v>110</v>
      </c>
      <c r="B12">
        <v>10.06</v>
      </c>
    </row>
    <row r="13" spans="1:2" x14ac:dyDescent="0.25">
      <c r="A13">
        <v>120</v>
      </c>
      <c r="B13">
        <v>6.81</v>
      </c>
    </row>
    <row r="14" spans="1:2" x14ac:dyDescent="0.25">
      <c r="A14">
        <v>130</v>
      </c>
      <c r="B14">
        <v>3.81</v>
      </c>
    </row>
    <row r="15" spans="1:2" x14ac:dyDescent="0.25">
      <c r="A15">
        <v>140</v>
      </c>
      <c r="B15">
        <v>1.4</v>
      </c>
    </row>
    <row r="16" spans="1:2" x14ac:dyDescent="0.25">
      <c r="A16">
        <v>150</v>
      </c>
      <c r="B16">
        <v>-1.45</v>
      </c>
    </row>
    <row r="17" spans="1:2" x14ac:dyDescent="0.25">
      <c r="A17">
        <v>160</v>
      </c>
      <c r="B17">
        <v>-5.2</v>
      </c>
    </row>
    <row r="18" spans="1:2" x14ac:dyDescent="0.25">
      <c r="A18">
        <v>170</v>
      </c>
      <c r="B18">
        <v>-8.9</v>
      </c>
    </row>
    <row r="19" spans="1:2" x14ac:dyDescent="0.25">
      <c r="A19">
        <v>180</v>
      </c>
      <c r="B19">
        <v>-11.38</v>
      </c>
    </row>
    <row r="20" spans="1:2" x14ac:dyDescent="0.25">
      <c r="A20">
        <v>190</v>
      </c>
      <c r="B20">
        <v>-14.8</v>
      </c>
    </row>
    <row r="21" spans="1:2" x14ac:dyDescent="0.25">
      <c r="A21">
        <v>200</v>
      </c>
      <c r="B21">
        <v>-19.079999999999998</v>
      </c>
    </row>
    <row r="22" spans="1:2" x14ac:dyDescent="0.25">
      <c r="A22">
        <v>210</v>
      </c>
      <c r="B22">
        <v>-21.63</v>
      </c>
    </row>
    <row r="23" spans="1:2" x14ac:dyDescent="0.25">
      <c r="A23">
        <v>220</v>
      </c>
      <c r="B23">
        <v>-25.15</v>
      </c>
    </row>
    <row r="24" spans="1:2" x14ac:dyDescent="0.25">
      <c r="A24">
        <v>230</v>
      </c>
      <c r="B24">
        <v>-30.31</v>
      </c>
    </row>
    <row r="25" spans="1:2" x14ac:dyDescent="0.25">
      <c r="A25">
        <v>240</v>
      </c>
      <c r="B25">
        <v>-28.57</v>
      </c>
    </row>
    <row r="26" spans="1:2" x14ac:dyDescent="0.25">
      <c r="A26">
        <v>250</v>
      </c>
      <c r="B26">
        <v>-20.2</v>
      </c>
    </row>
    <row r="27" spans="1:2" x14ac:dyDescent="0.25">
      <c r="A27">
        <v>10</v>
      </c>
      <c r="B27">
        <v>32.020000000000003</v>
      </c>
    </row>
    <row r="28" spans="1:2" x14ac:dyDescent="0.25">
      <c r="A28">
        <v>20</v>
      </c>
      <c r="B28">
        <v>30.5</v>
      </c>
    </row>
    <row r="29" spans="1:2" x14ac:dyDescent="0.25">
      <c r="A29">
        <v>30</v>
      </c>
      <c r="B29">
        <v>25.41</v>
      </c>
    </row>
    <row r="30" spans="1:2" x14ac:dyDescent="0.25">
      <c r="A30">
        <v>0</v>
      </c>
      <c r="B30">
        <v>19.149999999999999</v>
      </c>
    </row>
    <row r="31" spans="1:2" x14ac:dyDescent="0.25">
      <c r="A31">
        <v>10</v>
      </c>
      <c r="B31">
        <v>32.46</v>
      </c>
    </row>
    <row r="32" spans="1:2" x14ac:dyDescent="0.25">
      <c r="A32">
        <v>20</v>
      </c>
      <c r="B32">
        <v>29.61</v>
      </c>
    </row>
    <row r="33" spans="1:2" x14ac:dyDescent="0.25">
      <c r="A33">
        <v>30</v>
      </c>
      <c r="B33">
        <v>24.71</v>
      </c>
    </row>
    <row r="34" spans="1:2" x14ac:dyDescent="0.25">
      <c r="A34">
        <v>40</v>
      </c>
      <c r="B34">
        <v>25.68</v>
      </c>
    </row>
    <row r="35" spans="1:2" x14ac:dyDescent="0.25">
      <c r="A35">
        <v>50</v>
      </c>
      <c r="B35">
        <v>23.31</v>
      </c>
    </row>
    <row r="36" spans="1:2" x14ac:dyDescent="0.25">
      <c r="A36">
        <v>60</v>
      </c>
      <c r="B36">
        <v>19.05</v>
      </c>
    </row>
    <row r="37" spans="1:2" x14ac:dyDescent="0.25">
      <c r="A37">
        <v>70</v>
      </c>
      <c r="B37">
        <v>17.78</v>
      </c>
    </row>
    <row r="38" spans="1:2" x14ac:dyDescent="0.25">
      <c r="A38">
        <v>80</v>
      </c>
      <c r="B38">
        <v>16.100000000000001</v>
      </c>
    </row>
    <row r="39" spans="1:2" x14ac:dyDescent="0.25">
      <c r="A39">
        <v>90</v>
      </c>
      <c r="B39">
        <v>13.02</v>
      </c>
    </row>
    <row r="40" spans="1:2" x14ac:dyDescent="0.25">
      <c r="A40">
        <v>100</v>
      </c>
      <c r="B40">
        <v>11.1</v>
      </c>
    </row>
    <row r="41" spans="1:2" x14ac:dyDescent="0.25">
      <c r="A41">
        <v>110</v>
      </c>
      <c r="B41">
        <v>9.07</v>
      </c>
    </row>
    <row r="42" spans="1:2" x14ac:dyDescent="0.25">
      <c r="A42">
        <v>120</v>
      </c>
      <c r="B42">
        <v>6.05</v>
      </c>
    </row>
    <row r="43" spans="1:2" x14ac:dyDescent="0.25">
      <c r="A43">
        <v>130</v>
      </c>
      <c r="B43">
        <v>3.09</v>
      </c>
    </row>
    <row r="44" spans="1:2" x14ac:dyDescent="0.25">
      <c r="A44">
        <v>140</v>
      </c>
      <c r="B44">
        <v>0.75</v>
      </c>
    </row>
    <row r="45" spans="1:2" x14ac:dyDescent="0.25">
      <c r="A45">
        <v>150</v>
      </c>
      <c r="B45">
        <v>-2.36</v>
      </c>
    </row>
    <row r="46" spans="1:2" x14ac:dyDescent="0.25">
      <c r="A46">
        <v>160</v>
      </c>
      <c r="B46">
        <v>-6.31</v>
      </c>
    </row>
    <row r="47" spans="1:2" x14ac:dyDescent="0.25">
      <c r="A47">
        <v>170</v>
      </c>
      <c r="B47">
        <v>-9.68</v>
      </c>
    </row>
    <row r="48" spans="1:2" x14ac:dyDescent="0.25">
      <c r="A48">
        <v>180</v>
      </c>
      <c r="B48">
        <v>-12.25</v>
      </c>
    </row>
    <row r="49" spans="1:2" x14ac:dyDescent="0.25">
      <c r="A49">
        <v>190</v>
      </c>
      <c r="B49">
        <v>-15.7</v>
      </c>
    </row>
    <row r="50" spans="1:2" x14ac:dyDescent="0.25">
      <c r="A50">
        <v>200</v>
      </c>
      <c r="B50">
        <v>-19.8</v>
      </c>
    </row>
    <row r="51" spans="1:2" x14ac:dyDescent="0.25">
      <c r="A51">
        <v>210</v>
      </c>
      <c r="B51">
        <v>-22.19</v>
      </c>
    </row>
    <row r="52" spans="1:2" x14ac:dyDescent="0.25">
      <c r="A52">
        <v>220</v>
      </c>
      <c r="B52">
        <v>-26.15</v>
      </c>
    </row>
    <row r="53" spans="1:2" x14ac:dyDescent="0.25">
      <c r="A53">
        <v>230</v>
      </c>
      <c r="B53">
        <v>-30.94</v>
      </c>
    </row>
    <row r="54" spans="1:2" x14ac:dyDescent="0.25">
      <c r="A54">
        <v>240</v>
      </c>
      <c r="B54">
        <v>-28.7</v>
      </c>
    </row>
    <row r="55" spans="1:2" x14ac:dyDescent="0.25">
      <c r="A55">
        <v>250</v>
      </c>
      <c r="B55">
        <v>-18.850000000000001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E962A7-B7D3-42AB-A956-A7AC21E0A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ZS_computed_values</vt:lpstr>
      <vt:lpstr>zs pelny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Morzynski</dc:creator>
  <cp:lastModifiedBy>Piotr Morzynski</cp:lastModifiedBy>
  <dcterms:created xsi:type="dcterms:W3CDTF">2023-05-24T12:30:28Z</dcterms:created>
  <dcterms:modified xsi:type="dcterms:W3CDTF">2023-11-13T21:04:31Z</dcterms:modified>
</cp:coreProperties>
</file>